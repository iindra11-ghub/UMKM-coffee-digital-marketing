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<sst xmlns="http://schemas.openxmlformats.org/spreadsheetml/2006/main" count="17" uniqueCount="17">
  <si>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Coffee Shop</t>
  </si>
  <si>
    <t>Americano Price</t>
  </si>
  <si>
    <t>Lobby</t>
  </si>
  <si>
    <t>House of Malaga</t>
  </si>
  <si>
    <t>Kolam</t>
  </si>
  <si>
    <t>Average Price</t>
  </si>
  <si>
    <t>Highest Price</t>
  </si>
  <si>
    <t>Lowest Price</t>
  </si>
  <si>
    <t>Price Range</t>
  </si>
  <si>
    <t>Proposed Price</t>
  </si>
  <si>
    <t>Difference Vs Average</t>
  </si>
  <si>
    <t>Harga rata-rata Kompetitor</t>
  </si>
  <si>
    <t>Harga usulan</t>
  </si>
  <si>
    <t>Selish Harga</t>
  </si>
  <si>
    <t>Harga usulan Rp15.000 lebih rendah sekitar Rp5.667 dibandingkan rata-rata harga kompetitor. Strategi ini berpotensi menarik mahasiswa yang mencari kopi dengan harga terjangkau.</t>
  </si>
  <si>
    <t>Catatan Data</t>
  </si>
  <si>
    <t>Data harga kompetitor merupakan hasil pengumpulan awal dan belum diverifikasi secara langsung. Harga usulan Rp15.000 merupakan simulasi untuk latihan analisis bisnis, bukan harga jual aktual.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</si>
</sst>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]#,##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Perbandingan Harga Americano Kompetitor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Sheet1!$B$1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Sheet1!$A$2:$A$4</c:f>
            </c:strRef>
          </c:cat>
          <c:val>
            <c:numRef>
              <c:f>Sheet1!$B$2:$B$4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0</xdr:row>
      <xdr:rowOff>0</xdr:rowOff>
    </xdr:from>
    <xdr:ext cx="2867025" cy="17811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>
        <v>25000.0</v>
      </c>
    </row>
    <row r="3">
      <c r="A3" s="2" t="s">
        <v>3</v>
      </c>
      <c r="B3" s="3">
        <v>18000.0</v>
      </c>
    </row>
    <row r="4">
      <c r="A4" s="2" t="s">
        <v>4</v>
      </c>
      <c r="B4" s="3">
        <v>19000.0</v>
      </c>
    </row>
    <row r="5">
      <c r="B5" s="4"/>
    </row>
    <row r="6">
      <c r="A6" s="2" t="s">
        <v>5</v>
      </c>
      <c r="B6" s="4">
        <f>AVERAGE(B2:B4)</f>
        <v>20666.66667</v>
      </c>
    </row>
    <row r="7">
      <c r="A7" s="2" t="s">
        <v>6</v>
      </c>
      <c r="B7" s="4">
        <f>MAX(B2:B4)</f>
        <v>25000</v>
      </c>
    </row>
    <row r="8">
      <c r="A8" s="2" t="s">
        <v>7</v>
      </c>
      <c r="B8" s="4">
        <f>MIN(B2:B4)</f>
        <v>18000</v>
      </c>
    </row>
    <row r="9">
      <c r="A9" s="2" t="s">
        <v>8</v>
      </c>
      <c r="B9" s="4">
        <f>B7-B8</f>
        <v>7000</v>
      </c>
    </row>
    <row r="10">
      <c r="A10" s="2" t="s">
        <v>9</v>
      </c>
      <c r="B10" s="3">
        <v>15000.0</v>
      </c>
    </row>
    <row r="11">
      <c r="A11" s="2" t="s">
        <v>10</v>
      </c>
      <c r="B11" s="4">
        <f>B6-B10</f>
        <v>5666.666667</v>
      </c>
    </row>
    <row r="13">
      <c r="A13" s="2" t="s">
        <v>11</v>
      </c>
      <c r="B13" s="4">
        <f>B6</f>
        <v>20666.66667</v>
      </c>
    </row>
    <row r="14">
      <c r="A14" s="2" t="s">
        <v>12</v>
      </c>
      <c r="B14" s="4">
        <f>B10</f>
        <v>15000</v>
      </c>
    </row>
    <row r="16">
      <c r="A16" s="2" t="s">
        <v>13</v>
      </c>
      <c r="B16" s="4">
        <f>B13-B14</f>
        <v>5666.666667</v>
      </c>
    </row>
    <row r="19">
      <c r="A19" s="2" t="s">
        <v>14</v>
      </c>
    </row>
    <row r="21">
      <c r="A21" s="2" t="s">
        <v>15</v>
      </c>
    </row>
    <row r="22">
      <c r="A22" s="2" t="s">
        <v>16</v>
      </c>
    </row>
  </sheetData>
  <drawing r:id="rId1"/>
</worksheet>
</file>